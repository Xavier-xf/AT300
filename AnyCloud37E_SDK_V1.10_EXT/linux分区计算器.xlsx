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workdir\WeiTaiKe\src\indoor\AnyCloud37E_SDK_V1.10\"/>
    </mc:Choice>
  </mc:AlternateContent>
  <bookViews>
    <workbookView xWindow="0" yWindow="0" windowWidth="13770" windowHeight="59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5" i="1" l="1"/>
  <c r="J14" i="1"/>
  <c r="K14" i="1"/>
  <c r="D14" i="1"/>
  <c r="E14" i="1"/>
  <c r="F14" i="1"/>
  <c r="G14" i="1"/>
  <c r="H14" i="1"/>
  <c r="C15" i="1"/>
  <c r="D4" i="1" l="1"/>
  <c r="E4" i="1"/>
  <c r="H4" i="1" s="1"/>
  <c r="D5" i="1"/>
  <c r="E5" i="1"/>
  <c r="H5" i="1"/>
  <c r="D6" i="1"/>
  <c r="E6" i="1"/>
  <c r="H6" i="1" s="1"/>
  <c r="D7" i="1"/>
  <c r="E7" i="1"/>
  <c r="H7" i="1" s="1"/>
  <c r="D8" i="1"/>
  <c r="E8" i="1"/>
  <c r="H8" i="1"/>
  <c r="D9" i="1"/>
  <c r="E9" i="1"/>
  <c r="H9" i="1"/>
  <c r="D10" i="1"/>
  <c r="E10" i="1"/>
  <c r="H10" i="1"/>
  <c r="D11" i="1"/>
  <c r="E11" i="1"/>
  <c r="D12" i="1"/>
  <c r="E12" i="1"/>
  <c r="H12" i="1" s="1"/>
  <c r="D13" i="1"/>
  <c r="E13" i="1"/>
  <c r="H13" i="1" s="1"/>
  <c r="D15" i="1"/>
  <c r="E15" i="1"/>
  <c r="H15" i="1"/>
  <c r="E3" i="1"/>
  <c r="H3" i="1"/>
  <c r="D3" i="1"/>
  <c r="H11" i="1" l="1"/>
  <c r="G2" i="1" l="1"/>
  <c r="K3" i="1"/>
  <c r="K4" i="1"/>
  <c r="K5" i="1"/>
  <c r="K6" i="1"/>
  <c r="K7" i="1"/>
  <c r="K8" i="1"/>
  <c r="K9" i="1"/>
  <c r="K10" i="1"/>
  <c r="K11" i="1"/>
  <c r="K12" i="1"/>
  <c r="K13" i="1"/>
  <c r="K2" i="1"/>
  <c r="J10" i="1"/>
  <c r="J3" i="1" l="1"/>
  <c r="J4" i="1"/>
  <c r="J5" i="1"/>
  <c r="J6" i="1"/>
  <c r="J7" i="1"/>
  <c r="J8" i="1"/>
  <c r="J9" i="1"/>
  <c r="J11" i="1"/>
  <c r="J12" i="1"/>
  <c r="J13" i="1"/>
  <c r="J2" i="1"/>
  <c r="E2" i="1"/>
  <c r="F3" i="1" s="1"/>
  <c r="D2" i="1"/>
  <c r="C16" i="1"/>
  <c r="G3" i="1" l="1"/>
  <c r="F4" i="1"/>
  <c r="H2" i="1"/>
  <c r="I16" i="1"/>
  <c r="K15" i="1"/>
  <c r="J15" i="1"/>
  <c r="G4" i="1" l="1"/>
  <c r="F5" i="1"/>
  <c r="G5" i="1" l="1"/>
  <c r="F6" i="1"/>
  <c r="G6" i="1" l="1"/>
  <c r="F7" i="1"/>
  <c r="F8" i="1" l="1"/>
  <c r="G7" i="1"/>
  <c r="G8" i="1" l="1"/>
  <c r="F9" i="1"/>
  <c r="F10" i="1" l="1"/>
  <c r="G9" i="1"/>
  <c r="G10" i="1" l="1"/>
  <c r="F11" i="1"/>
  <c r="G11" i="1" l="1"/>
  <c r="F12" i="1"/>
  <c r="F13" i="1" l="1"/>
  <c r="G12" i="1"/>
  <c r="G13" i="1" l="1"/>
  <c r="F15" i="1"/>
  <c r="G15" i="1" s="1"/>
</calcChain>
</file>

<file path=xl/sharedStrings.xml><?xml version="1.0" encoding="utf-8"?>
<sst xmlns="http://schemas.openxmlformats.org/spreadsheetml/2006/main" count="39" uniqueCount="32">
  <si>
    <t>分区名</t>
    <phoneticPr fontId="1" type="noConversion"/>
  </si>
  <si>
    <t>rootfs</t>
    <phoneticPr fontId="1" type="noConversion"/>
  </si>
  <si>
    <t>app</t>
    <phoneticPr fontId="1" type="noConversion"/>
  </si>
  <si>
    <t>size（kb）</t>
    <phoneticPr fontId="1" type="noConversion"/>
  </si>
  <si>
    <t>合计</t>
  </si>
  <si>
    <t>64K对齐</t>
    <phoneticPr fontId="1" type="noConversion"/>
  </si>
  <si>
    <t>实际文件大小（KB）</t>
    <phoneticPr fontId="1" type="noConversion"/>
  </si>
  <si>
    <t>分区大小</t>
    <phoneticPr fontId="1" type="noConversion"/>
  </si>
  <si>
    <t>分区16进制</t>
    <phoneticPr fontId="1" type="noConversion"/>
  </si>
  <si>
    <t>实际文件64K对齐</t>
    <phoneticPr fontId="1" type="noConversion"/>
  </si>
  <si>
    <t>u-boot</t>
    <phoneticPr fontId="1" type="noConversion"/>
  </si>
  <si>
    <t>env</t>
    <phoneticPr fontId="1" type="noConversion"/>
  </si>
  <si>
    <t>envbk</t>
    <phoneticPr fontId="1" type="noConversion"/>
  </si>
  <si>
    <t>dtb</t>
    <phoneticPr fontId="1" type="noConversion"/>
  </si>
  <si>
    <t>kernel</t>
    <phoneticPr fontId="1" type="noConversion"/>
  </si>
  <si>
    <t>logo</t>
    <phoneticPr fontId="1" type="noConversion"/>
  </si>
  <si>
    <t>config</t>
    <phoneticPr fontId="1" type="noConversion"/>
  </si>
  <si>
    <t>确定</t>
    <phoneticPr fontId="1" type="noConversion"/>
  </si>
  <si>
    <t>usr</t>
    <phoneticPr fontId="1" type="noConversion"/>
  </si>
  <si>
    <t>tuya</t>
    <phoneticPr fontId="1" type="noConversion"/>
  </si>
  <si>
    <t>data</t>
    <phoneticPr fontId="1" type="noConversion"/>
  </si>
  <si>
    <t>剩余容量</t>
    <phoneticPr fontId="1" type="noConversion"/>
  </si>
  <si>
    <t>说明</t>
    <phoneticPr fontId="1" type="noConversion"/>
  </si>
  <si>
    <t>预留大小（KB）</t>
    <phoneticPr fontId="1" type="noConversion"/>
  </si>
  <si>
    <t>起始地址</t>
    <phoneticPr fontId="1" type="noConversion"/>
  </si>
  <si>
    <t>起始地址16进制</t>
    <phoneticPr fontId="1" type="noConversion"/>
  </si>
  <si>
    <t>目标值</t>
    <phoneticPr fontId="1" type="noConversion"/>
  </si>
  <si>
    <t>128kb（jpg）</t>
    <phoneticPr fontId="1" type="noConversion"/>
  </si>
  <si>
    <t>app+512bytes</t>
    <phoneticPr fontId="1" type="noConversion"/>
  </si>
  <si>
    <t>128kb</t>
    <phoneticPr fontId="1" type="noConversion"/>
  </si>
  <si>
    <t>128kb（jpg）</t>
    <phoneticPr fontId="1" type="noConversion"/>
  </si>
  <si>
    <t>home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</si>
</sst>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0" fillId="4" borderId="1" xfId="0" applyFill="1" applyBorder="1" applyAlignment="1" applyProtection="1">
      <alignment horizontal="left" vertical="center"/>
      <protection hidden="1"/>
    </xf>
    <xf numFmtId="0" fontId="0" fillId="4" borderId="1" xfId="0" applyFill="1" applyBorder="1" applyAlignment="1" applyProtection="1">
      <alignment horizontal="left"/>
      <protection hidden="1"/>
    </xf>
    <xf numFmtId="0" fontId="0" fillId="3" borderId="1" xfId="0" applyFill="1" applyBorder="1" applyAlignment="1" applyProtection="1">
      <alignment horizontal="left" vertical="center"/>
      <protection locked="0"/>
    </xf>
    <xf numFmtId="0" fontId="0" fillId="2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left" vertical="center"/>
      <protection locked="0"/>
    </xf>
    <xf numFmtId="0" fontId="0" fillId="5" borderId="0" xfId="0" applyFill="1" applyProtection="1">
      <protection hidden="1"/>
    </xf>
    <xf numFmtId="0" fontId="0" fillId="5" borderId="0" xfId="0" applyFill="1" applyProtection="1">
      <protection locked="0"/>
    </xf>
    <xf numFmtId="0" fontId="0" fillId="2" borderId="2" xfId="0" applyFill="1" applyBorder="1" applyAlignment="1" applyProtection="1">
      <alignment horizontal="center" vertical="center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tabSelected="1" zoomScaleNormal="100" workbookViewId="0">
      <selection activeCell="J21" sqref="J21"/>
    </sheetView>
  </sheetViews>
  <sheetFormatPr defaultRowHeight="14.25" x14ac:dyDescent="0.2"/>
  <cols>
    <col min="1" max="1" width="13.125" style="1" customWidth="1"/>
    <col min="2" max="2" width="7.5" customWidth="1"/>
    <col min="3" max="3" width="7.625" customWidth="1"/>
    <col min="4" max="6" width="9.5" customWidth="1"/>
    <col min="7" max="7" width="8.75" customWidth="1"/>
    <col min="8" max="8" width="11.125" customWidth="1"/>
    <col min="9" max="9" width="12.125" customWidth="1"/>
    <col min="10" max="10" width="16.375" customWidth="1"/>
    <col min="11" max="11" width="15.25" customWidth="1"/>
    <col min="12" max="12" width="15.5" customWidth="1"/>
    <col min="13" max="13" width="20.5" customWidth="1"/>
    <col min="14" max="14" width="18.75" customWidth="1"/>
    <col min="15" max="15" width="20.375" customWidth="1"/>
  </cols>
  <sheetData>
    <row r="1" spans="1:11" x14ac:dyDescent="0.2">
      <c r="A1" t="s">
        <v>22</v>
      </c>
      <c r="B1" s="2" t="s">
        <v>0</v>
      </c>
      <c r="C1" s="3" t="s">
        <v>3</v>
      </c>
      <c r="D1" s="2" t="s">
        <v>5</v>
      </c>
      <c r="E1" s="2" t="s">
        <v>7</v>
      </c>
      <c r="F1" s="2" t="s">
        <v>24</v>
      </c>
      <c r="G1" s="2" t="s">
        <v>25</v>
      </c>
      <c r="H1" s="2" t="s">
        <v>8</v>
      </c>
      <c r="I1" s="2" t="s">
        <v>6</v>
      </c>
      <c r="J1" s="2" t="s">
        <v>9</v>
      </c>
      <c r="K1" s="13" t="s">
        <v>23</v>
      </c>
    </row>
    <row r="2" spans="1:11" x14ac:dyDescent="0.2">
      <c r="A2" t="s">
        <v>17</v>
      </c>
      <c r="B2" s="4" t="s">
        <v>10</v>
      </c>
      <c r="C2" s="8">
        <v>320</v>
      </c>
      <c r="D2" s="6">
        <f>C2/64</f>
        <v>5</v>
      </c>
      <c r="E2" s="7">
        <f t="shared" ref="E2:E3" si="0">C2*1024</f>
        <v>327680</v>
      </c>
      <c r="F2" s="6">
        <v>0</v>
      </c>
      <c r="G2" s="6" t="str">
        <f>DEC2HEX(F2)</f>
        <v>0</v>
      </c>
      <c r="H2" s="6" t="str">
        <f>DEC2HEX(E2)</f>
        <v>50000</v>
      </c>
      <c r="I2" s="8">
        <v>209</v>
      </c>
      <c r="J2" s="6">
        <f>I2/64</f>
        <v>3.265625</v>
      </c>
      <c r="K2" s="6">
        <f t="shared" ref="K2:K15" si="1">C2-I2</f>
        <v>111</v>
      </c>
    </row>
    <row r="3" spans="1:11" x14ac:dyDescent="0.2">
      <c r="A3" t="s">
        <v>17</v>
      </c>
      <c r="B3" s="4" t="s">
        <v>11</v>
      </c>
      <c r="C3" s="8">
        <v>4</v>
      </c>
      <c r="D3" s="6">
        <f>C3/64</f>
        <v>6.25E-2</v>
      </c>
      <c r="E3" s="7">
        <f t="shared" si="0"/>
        <v>4096</v>
      </c>
      <c r="F3" s="6">
        <f>SUM(E2:F2)</f>
        <v>327680</v>
      </c>
      <c r="G3" s="6" t="str">
        <f t="shared" ref="G3" si="2">DEC2HEX(F3)</f>
        <v>50000</v>
      </c>
      <c r="H3" s="6" t="str">
        <f t="shared" ref="H3" si="3">DEC2HEX(E3)</f>
        <v>1000</v>
      </c>
      <c r="I3" s="8">
        <v>4</v>
      </c>
      <c r="J3" s="6">
        <f t="shared" ref="J3:J15" si="4">I3/64</f>
        <v>6.25E-2</v>
      </c>
      <c r="K3" s="6">
        <f t="shared" si="1"/>
        <v>0</v>
      </c>
    </row>
    <row r="4" spans="1:11" x14ac:dyDescent="0.2">
      <c r="A4" t="s">
        <v>17</v>
      </c>
      <c r="B4" s="4" t="s">
        <v>12</v>
      </c>
      <c r="C4" s="8">
        <v>4</v>
      </c>
      <c r="D4" s="6">
        <f t="shared" ref="D4:D15" si="5">C4/64</f>
        <v>6.25E-2</v>
      </c>
      <c r="E4" s="7">
        <f t="shared" ref="E4:E15" si="6">C4*1024</f>
        <v>4096</v>
      </c>
      <c r="F4" s="6">
        <f t="shared" ref="F4:F13" si="7">SUM(E3:F3)</f>
        <v>331776</v>
      </c>
      <c r="G4" s="6" t="str">
        <f t="shared" ref="G4:G15" si="8">DEC2HEX(F4)</f>
        <v>51000</v>
      </c>
      <c r="H4" s="6" t="str">
        <f t="shared" ref="H4:H15" si="9">DEC2HEX(E4)</f>
        <v>1000</v>
      </c>
      <c r="I4" s="8">
        <v>4</v>
      </c>
      <c r="J4" s="6">
        <f t="shared" si="4"/>
        <v>6.25E-2</v>
      </c>
      <c r="K4" s="6">
        <f t="shared" si="1"/>
        <v>0</v>
      </c>
    </row>
    <row r="5" spans="1:11" x14ac:dyDescent="0.2">
      <c r="A5" t="s">
        <v>17</v>
      </c>
      <c r="B5" s="4" t="s">
        <v>13</v>
      </c>
      <c r="C5" s="8">
        <v>64</v>
      </c>
      <c r="D5" s="6">
        <f t="shared" si="5"/>
        <v>1</v>
      </c>
      <c r="E5" s="7">
        <f t="shared" si="6"/>
        <v>65536</v>
      </c>
      <c r="F5" s="6">
        <f t="shared" si="7"/>
        <v>335872</v>
      </c>
      <c r="G5" s="6" t="str">
        <f t="shared" si="8"/>
        <v>52000</v>
      </c>
      <c r="H5" s="6" t="str">
        <f t="shared" si="9"/>
        <v>10000</v>
      </c>
      <c r="I5" s="8">
        <v>59</v>
      </c>
      <c r="J5" s="6">
        <f t="shared" si="4"/>
        <v>0.921875</v>
      </c>
      <c r="K5" s="6">
        <f t="shared" si="1"/>
        <v>5</v>
      </c>
    </row>
    <row r="6" spans="1:11" x14ac:dyDescent="0.2">
      <c r="A6" t="s">
        <v>17</v>
      </c>
      <c r="B6" s="4" t="s">
        <v>14</v>
      </c>
      <c r="C6" s="8">
        <v>1656</v>
      </c>
      <c r="D6" s="6">
        <f t="shared" si="5"/>
        <v>25.875</v>
      </c>
      <c r="E6" s="7">
        <f t="shared" si="6"/>
        <v>1695744</v>
      </c>
      <c r="F6" s="6">
        <f t="shared" si="7"/>
        <v>401408</v>
      </c>
      <c r="G6" s="6" t="str">
        <f t="shared" si="8"/>
        <v>62000</v>
      </c>
      <c r="H6" s="6" t="str">
        <f t="shared" si="9"/>
        <v>19E000</v>
      </c>
      <c r="I6" s="8">
        <v>1588</v>
      </c>
      <c r="J6" s="6">
        <f t="shared" si="4"/>
        <v>24.8125</v>
      </c>
      <c r="K6" s="6">
        <f t="shared" si="1"/>
        <v>68</v>
      </c>
    </row>
    <row r="7" spans="1:11" x14ac:dyDescent="0.2">
      <c r="A7" t="s">
        <v>27</v>
      </c>
      <c r="B7" s="4" t="s">
        <v>15</v>
      </c>
      <c r="C7" s="8">
        <v>128</v>
      </c>
      <c r="D7" s="6">
        <f t="shared" si="5"/>
        <v>2</v>
      </c>
      <c r="E7" s="7">
        <f t="shared" si="6"/>
        <v>131072</v>
      </c>
      <c r="F7" s="6">
        <f t="shared" si="7"/>
        <v>2097152</v>
      </c>
      <c r="G7" s="6" t="str">
        <f t="shared" si="8"/>
        <v>200000</v>
      </c>
      <c r="H7" s="6" t="str">
        <f t="shared" si="9"/>
        <v>20000</v>
      </c>
      <c r="I7" s="8">
        <v>43</v>
      </c>
      <c r="J7" s="6">
        <f t="shared" si="4"/>
        <v>0.671875</v>
      </c>
      <c r="K7" s="6">
        <f t="shared" si="1"/>
        <v>85</v>
      </c>
    </row>
    <row r="8" spans="1:11" x14ac:dyDescent="0.2">
      <c r="A8" t="s">
        <v>17</v>
      </c>
      <c r="B8" s="4" t="s">
        <v>1</v>
      </c>
      <c r="C8" s="8">
        <v>2048</v>
      </c>
      <c r="D8" s="6">
        <f t="shared" si="5"/>
        <v>32</v>
      </c>
      <c r="E8" s="7">
        <f t="shared" si="6"/>
        <v>2097152</v>
      </c>
      <c r="F8" s="6">
        <f t="shared" si="7"/>
        <v>2228224</v>
      </c>
      <c r="G8" s="6" t="str">
        <f t="shared" si="8"/>
        <v>220000</v>
      </c>
      <c r="H8" s="6" t="str">
        <f t="shared" si="9"/>
        <v>200000</v>
      </c>
      <c r="I8" s="8">
        <v>1816</v>
      </c>
      <c r="J8" s="6">
        <f t="shared" si="4"/>
        <v>28.375</v>
      </c>
      <c r="K8" s="6">
        <f t="shared" si="1"/>
        <v>232</v>
      </c>
    </row>
    <row r="9" spans="1:11" x14ac:dyDescent="0.2">
      <c r="A9" t="s">
        <v>17</v>
      </c>
      <c r="B9" s="4" t="s">
        <v>16</v>
      </c>
      <c r="C9" s="8">
        <v>64</v>
      </c>
      <c r="D9" s="6">
        <f t="shared" si="5"/>
        <v>1</v>
      </c>
      <c r="E9" s="7">
        <f t="shared" si="6"/>
        <v>65536</v>
      </c>
      <c r="F9" s="6">
        <f t="shared" si="7"/>
        <v>4325376</v>
      </c>
      <c r="G9" s="6" t="str">
        <f t="shared" si="8"/>
        <v>420000</v>
      </c>
      <c r="H9" s="6" t="str">
        <f t="shared" si="9"/>
        <v>10000</v>
      </c>
      <c r="I9" s="8">
        <v>5</v>
      </c>
      <c r="J9" s="6">
        <f t="shared" si="4"/>
        <v>7.8125E-2</v>
      </c>
      <c r="K9" s="6">
        <f t="shared" si="1"/>
        <v>59</v>
      </c>
    </row>
    <row r="10" spans="1:11" x14ac:dyDescent="0.2">
      <c r="A10" t="s">
        <v>17</v>
      </c>
      <c r="B10" s="4" t="s">
        <v>18</v>
      </c>
      <c r="C10" s="8">
        <v>2048</v>
      </c>
      <c r="D10" s="6">
        <f t="shared" si="5"/>
        <v>32</v>
      </c>
      <c r="E10" s="7">
        <f t="shared" si="6"/>
        <v>2097152</v>
      </c>
      <c r="F10" s="6">
        <f t="shared" si="7"/>
        <v>4390912</v>
      </c>
      <c r="G10" s="6" t="str">
        <f t="shared" si="8"/>
        <v>430000</v>
      </c>
      <c r="H10" s="6" t="str">
        <f t="shared" si="9"/>
        <v>200000</v>
      </c>
      <c r="I10" s="8">
        <v>1688</v>
      </c>
      <c r="J10" s="6">
        <f t="shared" ref="J10" si="10">I10/64</f>
        <v>26.375</v>
      </c>
      <c r="K10" s="6">
        <f t="shared" si="1"/>
        <v>360</v>
      </c>
    </row>
    <row r="11" spans="1:11" x14ac:dyDescent="0.2">
      <c r="A11" t="s">
        <v>28</v>
      </c>
      <c r="B11" s="4" t="s">
        <v>2</v>
      </c>
      <c r="C11" s="8">
        <v>4096</v>
      </c>
      <c r="D11" s="6">
        <f t="shared" si="5"/>
        <v>64</v>
      </c>
      <c r="E11" s="7">
        <f t="shared" si="6"/>
        <v>4194304</v>
      </c>
      <c r="F11" s="6">
        <f t="shared" si="7"/>
        <v>6488064</v>
      </c>
      <c r="G11" s="6" t="str">
        <f t="shared" si="8"/>
        <v>630000</v>
      </c>
      <c r="H11" s="6" t="str">
        <f t="shared" si="9"/>
        <v>400000</v>
      </c>
      <c r="I11" s="8">
        <v>2028</v>
      </c>
      <c r="J11" s="6">
        <f t="shared" si="4"/>
        <v>31.6875</v>
      </c>
      <c r="K11" s="6">
        <f t="shared" si="1"/>
        <v>2068</v>
      </c>
    </row>
    <row r="12" spans="1:11" x14ac:dyDescent="0.2">
      <c r="A12" t="s">
        <v>29</v>
      </c>
      <c r="B12" s="4" t="s">
        <v>19</v>
      </c>
      <c r="C12" s="8">
        <v>128</v>
      </c>
      <c r="D12" s="6">
        <f t="shared" si="5"/>
        <v>2</v>
      </c>
      <c r="E12" s="7">
        <f t="shared" si="6"/>
        <v>131072</v>
      </c>
      <c r="F12" s="6">
        <f t="shared" si="7"/>
        <v>10682368</v>
      </c>
      <c r="G12" s="6" t="str">
        <f t="shared" si="8"/>
        <v>A30000</v>
      </c>
      <c r="H12" s="6" t="str">
        <f t="shared" si="9"/>
        <v>20000</v>
      </c>
      <c r="I12" s="8">
        <v>0</v>
      </c>
      <c r="J12" s="6">
        <f t="shared" si="4"/>
        <v>0</v>
      </c>
      <c r="K12" s="6">
        <f t="shared" si="1"/>
        <v>128</v>
      </c>
    </row>
    <row r="13" spans="1:11" x14ac:dyDescent="0.2">
      <c r="A13" t="s">
        <v>21</v>
      </c>
      <c r="B13" s="4" t="s">
        <v>20</v>
      </c>
      <c r="C13" s="8">
        <v>5696</v>
      </c>
      <c r="D13" s="6">
        <f t="shared" si="5"/>
        <v>89</v>
      </c>
      <c r="E13" s="7">
        <f t="shared" si="6"/>
        <v>5832704</v>
      </c>
      <c r="F13" s="6">
        <f t="shared" si="7"/>
        <v>10813440</v>
      </c>
      <c r="G13" s="6" t="str">
        <f t="shared" si="8"/>
        <v>A50000</v>
      </c>
      <c r="H13" s="6" t="str">
        <f t="shared" si="9"/>
        <v>590000</v>
      </c>
      <c r="I13" s="8">
        <v>0</v>
      </c>
      <c r="J13" s="6">
        <f t="shared" si="4"/>
        <v>0</v>
      </c>
      <c r="K13" s="6">
        <f t="shared" si="1"/>
        <v>5696</v>
      </c>
    </row>
    <row r="14" spans="1:11" x14ac:dyDescent="0.2">
      <c r="A14" t="s">
        <v>30</v>
      </c>
      <c r="B14" s="4" t="s">
        <v>31</v>
      </c>
      <c r="C14" s="8">
        <v>128</v>
      </c>
      <c r="D14" s="6">
        <f t="shared" ref="D14" si="11">C14/64</f>
        <v>2</v>
      </c>
      <c r="E14" s="7">
        <f t="shared" ref="E14" si="12">C14*1024</f>
        <v>131072</v>
      </c>
      <c r="F14" s="6">
        <f t="shared" ref="F14" si="13">SUM(E13:F13)</f>
        <v>16646144</v>
      </c>
      <c r="G14" s="6" t="str">
        <f t="shared" ref="G14" si="14">DEC2HEX(F14)</f>
        <v>FE0000</v>
      </c>
      <c r="H14" s="6" t="str">
        <f t="shared" ref="H14" si="15">DEC2HEX(E14)</f>
        <v>20000</v>
      </c>
      <c r="I14" s="8">
        <v>64</v>
      </c>
      <c r="J14" s="6">
        <f t="shared" si="4"/>
        <v>1</v>
      </c>
      <c r="K14" s="6">
        <f t="shared" si="1"/>
        <v>64</v>
      </c>
    </row>
    <row r="15" spans="1:11" x14ac:dyDescent="0.2">
      <c r="A15"/>
      <c r="B15" s="4" t="s">
        <v>4</v>
      </c>
      <c r="C15" s="9">
        <f>SUM(C2:C14)</f>
        <v>16384</v>
      </c>
      <c r="D15" s="9">
        <f t="shared" si="5"/>
        <v>256</v>
      </c>
      <c r="E15" s="9">
        <f t="shared" si="6"/>
        <v>16777216</v>
      </c>
      <c r="F15" s="9">
        <f>SUM(E13:F13)</f>
        <v>16646144</v>
      </c>
      <c r="G15" s="9" t="str">
        <f t="shared" si="8"/>
        <v>FE0000</v>
      </c>
      <c r="H15" s="9" t="str">
        <f t="shared" si="9"/>
        <v>1000000</v>
      </c>
      <c r="I15" s="10">
        <f>SUM(I2:I14)</f>
        <v>7508</v>
      </c>
      <c r="J15" s="9">
        <f t="shared" si="4"/>
        <v>117.3125</v>
      </c>
      <c r="K15" s="6">
        <f t="shared" si="1"/>
        <v>8876</v>
      </c>
    </row>
    <row r="16" spans="1:11" x14ac:dyDescent="0.2">
      <c r="A16" t="s">
        <v>26</v>
      </c>
      <c r="B16" s="5"/>
      <c r="C16" s="11">
        <f>C15/1024</f>
        <v>16</v>
      </c>
      <c r="D16" s="5"/>
      <c r="E16" s="5">
        <v>16777216</v>
      </c>
      <c r="F16" s="5"/>
      <c r="G16" s="5"/>
      <c r="H16" s="5">
        <v>1000000</v>
      </c>
      <c r="I16" s="12">
        <f>I15/1024</f>
        <v>7.33203125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liu</dc:creator>
  <cp:lastModifiedBy>lang ye</cp:lastModifiedBy>
  <dcterms:created xsi:type="dcterms:W3CDTF">2015-06-05T18:19:34Z</dcterms:created>
  <dcterms:modified xsi:type="dcterms:W3CDTF">2024-06-20T00:58:19Z</dcterms:modified>
</cp:coreProperties>
</file>